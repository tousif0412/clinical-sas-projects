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c442089d78df4e/Documents/Train_Studio/CL/SDTM SPECS/"/>
    </mc:Choice>
  </mc:AlternateContent>
  <xr:revisionPtr revIDLastSave="23" documentId="13_ncr:1_{EAE5579D-DE7D-4717-8634-C01386E5A6FB}" xr6:coauthVersionLast="47" xr6:coauthVersionMax="47" xr10:uidLastSave="{598A3639-0468-4393-935D-A11B1FB11F04}"/>
  <bookViews>
    <workbookView xWindow="14295" yWindow="0" windowWidth="14610" windowHeight="15585" xr2:uid="{00000000-000D-0000-FFFF-FFFF00000000}"/>
  </bookViews>
  <sheets>
    <sheet name="Sheet1" sheetId="1" r:id="rId1"/>
    <sheet name="Sheet3" sheetId="5" r:id="rId2"/>
    <sheet name="Sheet2" sheetId="2" r:id="rId3"/>
    <sheet name="mock-data" sheetId="3" r:id="rId4"/>
    <sheet name="mock-one-step" sheetId="4" r:id="rId5"/>
  </sheets>
  <definedNames>
    <definedName name="_xlnm._FilterDatabase" localSheetId="3" hidden="1">'mock-data'!$A$1:$D$61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4" l="1"/>
  <c r="O7" i="4" s="1"/>
  <c r="N10" i="4" l="1"/>
  <c r="O10" i="4" s="1"/>
  <c r="N9" i="4"/>
  <c r="O9" i="4" s="1"/>
  <c r="N8" i="4"/>
  <c r="O8" i="4" s="1"/>
</calcChain>
</file>

<file path=xl/sharedStrings.xml><?xml version="1.0" encoding="utf-8"?>
<sst xmlns="http://schemas.openxmlformats.org/spreadsheetml/2006/main" count="615" uniqueCount="174">
  <si>
    <t>SDTMIG 3.2</t>
  </si>
  <si>
    <t>Domain:</t>
  </si>
  <si>
    <t>VS</t>
  </si>
  <si>
    <t>Structure:</t>
  </si>
  <si>
    <t>One record per vital sign measurement per time point per visit per subject</t>
  </si>
  <si>
    <r>
      <rPr>
        <sz val="10"/>
        <color theme="1"/>
        <rFont val="Calibri"/>
        <family val="2"/>
      </rPr>
      <t>source</t>
    </r>
    <r>
      <rPr>
        <sz val="10"/>
        <color theme="1"/>
        <rFont val="Calibri"/>
        <family val="2"/>
        <scheme val="minor"/>
      </rPr>
      <t>：</t>
    </r>
  </si>
  <si>
    <t> </t>
  </si>
  <si>
    <r>
      <rPr>
        <sz val="10"/>
        <color theme="1"/>
        <rFont val="Calibri"/>
        <family val="2"/>
      </rPr>
      <t>Filter</t>
    </r>
    <r>
      <rPr>
        <sz val="10"/>
        <color theme="1"/>
        <rFont val="Calibri"/>
        <family val="2"/>
        <scheme val="minor"/>
      </rPr>
      <t>：</t>
    </r>
  </si>
  <si>
    <t>Variable</t>
  </si>
  <si>
    <t>Label</t>
  </si>
  <si>
    <t>Type</t>
  </si>
  <si>
    <t>Length</t>
  </si>
  <si>
    <t>Controlled Terminiology, Codelist</t>
  </si>
  <si>
    <t>Role</t>
  </si>
  <si>
    <t>Core</t>
  </si>
  <si>
    <t>Origin</t>
  </si>
  <si>
    <t>Source</t>
  </si>
  <si>
    <t>Derivation</t>
  </si>
  <si>
    <t>Comments</t>
  </si>
  <si>
    <t>STUDYID</t>
  </si>
  <si>
    <t>Study Identifier</t>
  </si>
  <si>
    <t>Char</t>
  </si>
  <si>
    <t>Identifier</t>
  </si>
  <si>
    <t>REQ</t>
  </si>
  <si>
    <t>CRF</t>
  </si>
  <si>
    <t>Set to 'AA-2020-06'</t>
  </si>
  <si>
    <t>DOMAIN</t>
  </si>
  <si>
    <t>Domain Abbreviation</t>
  </si>
  <si>
    <t>Assigned</t>
  </si>
  <si>
    <t>Set to 'VS'</t>
  </si>
  <si>
    <t>USUBJID</t>
  </si>
  <si>
    <t>Unique Subject Identifier</t>
  </si>
  <si>
    <t>Derived</t>
  </si>
  <si>
    <t>RAWC.VS.SUBNUM</t>
  </si>
  <si>
    <t>Concatenation of STUDYID and RAWC.VS.SUBNUM.</t>
  </si>
  <si>
    <t>VSSEQ</t>
  </si>
  <si>
    <t>Sequence Number</t>
  </si>
  <si>
    <t>Num</t>
  </si>
  <si>
    <t>Order VS by STUDYID USUBJID VISITNUM VSDTC VSTESTCD then assign integer values sequentially within USUBJID.</t>
  </si>
  <si>
    <t>VSTESTCD</t>
  </si>
  <si>
    <t>Vital Signs Test Short Name</t>
  </si>
  <si>
    <t>VSTESTCD(C66741)</t>
  </si>
  <si>
    <t>Topic</t>
  </si>
  <si>
    <t>VSTEST</t>
  </si>
  <si>
    <t>Vital Signs Test Name</t>
  </si>
  <si>
    <t>VSTEST(C67153)</t>
  </si>
  <si>
    <t>Synonym Qualifier</t>
  </si>
  <si>
    <t>VSORRES</t>
  </si>
  <si>
    <t>Result or Finding in Original Units</t>
  </si>
  <si>
    <t>Result Qualifier</t>
  </si>
  <si>
    <t>EXP</t>
  </si>
  <si>
    <t>VSORRESU</t>
  </si>
  <si>
    <t>Original Units</t>
  </si>
  <si>
    <t>Variable Qualifier</t>
  </si>
  <si>
    <t>VSSTRESC</t>
  </si>
  <si>
    <t>Character Result/Finding in Std Format</t>
  </si>
  <si>
    <t>SDTM.VS.VSSTRESN
SDTM.VS.VSORRES</t>
  </si>
  <si>
    <t>if VSSTRESN^=. Then character form of VSSTRESN;
else set to VSORRES</t>
  </si>
  <si>
    <t>VSSTRESN</t>
  </si>
  <si>
    <t>Numeric Result/Finding in Standard Units</t>
  </si>
  <si>
    <t>SDTM.VS.VSTESTCD
SDTM.VS.VSORRES
SDTM.VS.VSORRESU</t>
  </si>
  <si>
    <t>if VSTESTCD="TEMP" and VSORRESU="F" then set to (VSORRES-32)*5/9)
else if VSTESTCD="HEIGHT" and VSORRESU="in" then set to VSORRES*2.54
else if VSTESTCD="WEIGHT" and VSORRESU="lb" then set to VSORRES*0.454
else if VSTESTCD="BMI" and VSORRESU="lb/in2" then set to  VSORRES*0.454/(0.0254*0.0254)
else numeric form of VSORRES</t>
  </si>
  <si>
    <t>• 1 inch = 2.54 cm
• 1 lb = 0.4536 kg
•  oC = (oF – 32)x5/9</t>
  </si>
  <si>
    <t>VSSTRESU</t>
  </si>
  <si>
    <t>Standard Units</t>
  </si>
  <si>
    <t>VSRESU(C66770)</t>
  </si>
  <si>
    <t>VSSTAT</t>
  </si>
  <si>
    <t>Completion Status</t>
  </si>
  <si>
    <t>ND(C66789)</t>
  </si>
  <si>
    <t>Record Qualifier</t>
  </si>
  <si>
    <t>PERM</t>
  </si>
  <si>
    <t>VSLOBXFL</t>
  </si>
  <si>
    <t>Last Observation Before Exposure Flag</t>
  </si>
  <si>
    <t>NY(C66742)</t>
  </si>
  <si>
    <t>Set to VSBLFL</t>
  </si>
  <si>
    <t xml:space="preserve">VSREASND </t>
  </si>
  <si>
    <t>Reason Not Performed</t>
  </si>
  <si>
    <t>VSBLFL</t>
  </si>
  <si>
    <t>Baseline Flag</t>
  </si>
  <si>
    <t>Set to 'Y' if a baseline value, else null,Baseline value is defined as the last non-missing value before the first dose.</t>
  </si>
  <si>
    <t>VISITNUM</t>
  </si>
  <si>
    <t>Visit Number</t>
  </si>
  <si>
    <t>Timing</t>
  </si>
  <si>
    <t>For Scheduled Visits merge with TV by VISIT and map VISITNUM from SDTM.TV.VISITNUM.</t>
  </si>
  <si>
    <t>VISIT</t>
  </si>
  <si>
    <t>Visit Name</t>
  </si>
  <si>
    <t xml:space="preserve">Set to Source variable VS.VISNAME. </t>
  </si>
  <si>
    <t>EPOCH</t>
  </si>
  <si>
    <t>Epoch</t>
  </si>
  <si>
    <t>Perm</t>
  </si>
  <si>
    <t>SDTM.VS.VSDTC
SDTM.SE.SESTDTC
SDTM.SE.SEENDTC</t>
  </si>
  <si>
    <t>compare dtc with SE.SESTDTC to confirm the VSDTC in which epoch belong</t>
  </si>
  <si>
    <t>VSDTC</t>
  </si>
  <si>
    <t>Date/Time of Measurements</t>
  </si>
  <si>
    <t>ISO 8601</t>
  </si>
  <si>
    <t>RAWC.VS.VSDAT
RAWC.VS.VSTIM</t>
  </si>
  <si>
    <t>Combine VS.VSDAT and VS.VSTIM and convert to an ISO8601 format</t>
  </si>
  <si>
    <t>VSDY</t>
  </si>
  <si>
    <t>Study Day of Vital Signs</t>
  </si>
  <si>
    <t/>
  </si>
  <si>
    <t>SDTM.VS.VSDTC
SDTM.DM.RFSTDTC</t>
  </si>
  <si>
    <t>VSDTC - DM.RFSTDTC + 1 if VSDTC &gt;= DM.RFSTDTC;
VSDTC - DM.RFSTDTC if VSDTC &lt; DM.RFSTDTC</t>
  </si>
  <si>
    <t>BP</t>
  </si>
  <si>
    <t>HR</t>
  </si>
  <si>
    <t>BMI</t>
  </si>
  <si>
    <t>BMR</t>
  </si>
  <si>
    <t>BSA</t>
  </si>
  <si>
    <t>DIABP</t>
  </si>
  <si>
    <t>HEIGHT</t>
  </si>
  <si>
    <t>LENGTH</t>
  </si>
  <si>
    <t>OXYSAT</t>
  </si>
  <si>
    <t>PALPBLTY</t>
  </si>
  <si>
    <t>PULSE</t>
  </si>
  <si>
    <t>RESP</t>
  </si>
  <si>
    <t>SYSBP</t>
  </si>
  <si>
    <t>TEMP</t>
  </si>
  <si>
    <t>VSALL</t>
  </si>
  <si>
    <t>WEIGHT</t>
  </si>
  <si>
    <t>sub101</t>
  </si>
  <si>
    <t>visit1</t>
  </si>
  <si>
    <t>10.10am</t>
  </si>
  <si>
    <t>10.30am</t>
  </si>
  <si>
    <t>visit2</t>
  </si>
  <si>
    <t>sub001</t>
  </si>
  <si>
    <t xml:space="preserve">      VSTESTCD</t>
  </si>
  <si>
    <t>'DIABP';</t>
  </si>
  <si>
    <t xml:space="preserve">      VSTEST</t>
  </si>
  <si>
    <t>'Diastolic Blood Pressure';</t>
  </si>
  <si>
    <t xml:space="preserve">      VSORRES_</t>
  </si>
  <si>
    <t>strip(put(VSDBP,??best.));</t>
  </si>
  <si>
    <t xml:space="preserve">      VSORRESU</t>
  </si>
  <si>
    <t>mmHg;</t>
  </si>
  <si>
    <t xml:space="preserve">      VSSTRESC</t>
  </si>
  <si>
    <t>VSORRES_;</t>
  </si>
  <si>
    <t xml:space="preserve">      VSSTRESN</t>
  </si>
  <si>
    <t>VSDBP;</t>
  </si>
  <si>
    <t xml:space="preserve">      VSSTRESU</t>
  </si>
  <si>
    <t xml:space="preserve">      VSSTAT </t>
  </si>
  <si>
    <t xml:space="preserve"> " ";</t>
  </si>
  <si>
    <t xml:space="preserve">      VSREASND </t>
  </si>
  <si>
    <t>visit3</t>
  </si>
  <si>
    <t>visit4</t>
  </si>
  <si>
    <t>first dose</t>
  </si>
  <si>
    <t>base line record</t>
  </si>
  <si>
    <t>VSBLFL=Y</t>
  </si>
  <si>
    <t>post base line records</t>
  </si>
  <si>
    <t>balineValue</t>
  </si>
  <si>
    <t>change</t>
  </si>
  <si>
    <t>change%</t>
  </si>
  <si>
    <t>ABLFL</t>
  </si>
  <si>
    <t>BASE</t>
  </si>
  <si>
    <t>AVAL</t>
  </si>
  <si>
    <t>PCHG</t>
  </si>
  <si>
    <t>CHG</t>
  </si>
  <si>
    <t>Indicator</t>
  </si>
  <si>
    <t>N</t>
  </si>
  <si>
    <t>H</t>
  </si>
  <si>
    <t>usubjid</t>
  </si>
  <si>
    <t>baseline</t>
  </si>
  <si>
    <t>postbaseline</t>
  </si>
  <si>
    <t>end of treatment</t>
  </si>
  <si>
    <t>sub102</t>
  </si>
  <si>
    <t>sub103</t>
  </si>
  <si>
    <t>sub104</t>
  </si>
  <si>
    <t>sub105</t>
  </si>
  <si>
    <t>sub106</t>
  </si>
  <si>
    <t>sub107</t>
  </si>
  <si>
    <t>sub108</t>
  </si>
  <si>
    <t>sub109</t>
  </si>
  <si>
    <t>sub110</t>
  </si>
  <si>
    <t>L</t>
  </si>
  <si>
    <t>BASELINE</t>
  </si>
  <si>
    <t>END OF TREAT</t>
  </si>
  <si>
    <t>SHIFT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</si>
</sst>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18" xfId="0" applyBorder="1"/>
    <xf numFmtId="0" fontId="0" fillId="0" borderId="15" xfId="0" applyBorder="1"/>
    <xf numFmtId="0" fontId="11" fillId="0" borderId="15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2" fillId="0" borderId="0" xfId="0" applyFont="1"/>
    <xf numFmtId="0" fontId="10" fillId="0" borderId="0" xfId="0" applyFont="1"/>
    <xf numFmtId="0" fontId="10" fillId="0" borderId="16" xfId="0" applyFont="1" applyBorder="1"/>
    <xf numFmtId="0" fontId="10" fillId="0" borderId="17" xfId="0" applyFont="1" applyBorder="1"/>
    <xf numFmtId="0" fontId="1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1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H1" zoomScaleNormal="100" workbookViewId="0">
      <selection activeCell="J9" sqref="J9"/>
    </sheetView>
  </sheetViews>
  <sheetFormatPr defaultColWidth="8.7109375" defaultRowHeight="15"/>
  <cols>
    <col min="1" max="1" width="11.42578125" customWidth="1"/>
    <col min="2" max="2" width="32.5703125" customWidth="1"/>
    <col min="3" max="3" width="6.5703125" customWidth="1"/>
    <col min="4" max="4" width="12" customWidth="1"/>
    <col min="5" max="5" width="7.5703125" customWidth="1"/>
    <col min="6" max="6" width="23.140625" customWidth="1"/>
    <col min="7" max="7" width="6.5703125" customWidth="1"/>
    <col min="9" max="9" width="20" customWidth="1"/>
    <col min="10" max="10" width="52.85546875" customWidth="1"/>
  </cols>
  <sheetData>
    <row r="1" spans="1:11">
      <c r="A1" s="33" t="s">
        <v>0</v>
      </c>
      <c r="B1" s="34"/>
      <c r="C1" s="34"/>
      <c r="D1" s="34"/>
      <c r="E1" s="35"/>
      <c r="F1" s="2"/>
      <c r="G1" s="2"/>
      <c r="H1" s="2"/>
      <c r="I1" s="2"/>
      <c r="J1" s="2"/>
      <c r="K1" s="2"/>
    </row>
    <row r="2" spans="1:11">
      <c r="A2" s="3" t="s">
        <v>1</v>
      </c>
      <c r="B2" s="36" t="s">
        <v>2</v>
      </c>
      <c r="C2" s="36"/>
      <c r="D2" s="36"/>
      <c r="E2" s="37"/>
      <c r="F2" s="2"/>
      <c r="G2" s="2"/>
      <c r="H2" s="2"/>
      <c r="I2" s="2"/>
      <c r="J2" s="2"/>
      <c r="K2" s="2"/>
    </row>
    <row r="3" spans="1:11">
      <c r="A3" s="4" t="s">
        <v>3</v>
      </c>
      <c r="B3" s="38" t="s">
        <v>4</v>
      </c>
      <c r="C3" s="38"/>
      <c r="D3" s="38"/>
      <c r="E3" s="39"/>
      <c r="F3" s="2"/>
      <c r="G3" s="2"/>
      <c r="H3" s="2"/>
      <c r="I3" s="2"/>
      <c r="J3" s="2"/>
      <c r="K3" s="2"/>
    </row>
    <row r="4" spans="1:11">
      <c r="A4" s="4" t="s">
        <v>5</v>
      </c>
      <c r="B4" s="36" t="s">
        <v>6</v>
      </c>
      <c r="C4" s="36"/>
      <c r="D4" s="36"/>
      <c r="E4" s="37"/>
      <c r="F4" s="2"/>
      <c r="G4" s="2"/>
      <c r="H4" s="2"/>
      <c r="I4" s="2"/>
      <c r="J4" s="2"/>
      <c r="K4" s="2"/>
    </row>
    <row r="5" spans="1:11">
      <c r="A5" s="4" t="s">
        <v>7</v>
      </c>
      <c r="B5" s="40" t="s">
        <v>6</v>
      </c>
      <c r="C5" s="40"/>
      <c r="D5" s="40"/>
      <c r="E5" s="41"/>
      <c r="F5" s="2"/>
      <c r="G5" s="2"/>
      <c r="H5" s="2"/>
      <c r="I5" s="2"/>
      <c r="J5" s="2"/>
      <c r="K5" s="2"/>
    </row>
    <row r="6" spans="1:11" ht="31.5" customHeight="1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6" t="s">
        <v>16</v>
      </c>
      <c r="J6" s="6" t="s">
        <v>17</v>
      </c>
      <c r="K6" s="6" t="s">
        <v>18</v>
      </c>
    </row>
    <row r="7" spans="1:11">
      <c r="A7" s="7" t="s">
        <v>19</v>
      </c>
      <c r="B7" s="1" t="s">
        <v>20</v>
      </c>
      <c r="C7" s="8" t="s">
        <v>21</v>
      </c>
      <c r="D7" s="8">
        <v>20</v>
      </c>
      <c r="E7" s="8" t="s">
        <v>6</v>
      </c>
      <c r="F7" s="8" t="s">
        <v>22</v>
      </c>
      <c r="G7" s="8" t="s">
        <v>23</v>
      </c>
      <c r="H7" s="8" t="s">
        <v>24</v>
      </c>
      <c r="I7" s="8" t="s">
        <v>6</v>
      </c>
      <c r="J7" s="8" t="s">
        <v>25</v>
      </c>
      <c r="K7" s="8" t="s">
        <v>6</v>
      </c>
    </row>
    <row r="8" spans="1:11">
      <c r="A8" s="7" t="s">
        <v>26</v>
      </c>
      <c r="B8" s="1" t="s">
        <v>27</v>
      </c>
      <c r="C8" s="8" t="s">
        <v>21</v>
      </c>
      <c r="D8" s="8">
        <v>2</v>
      </c>
      <c r="E8" s="8" t="s">
        <v>2</v>
      </c>
      <c r="F8" s="8" t="s">
        <v>22</v>
      </c>
      <c r="G8" s="8" t="s">
        <v>23</v>
      </c>
      <c r="H8" s="8" t="s">
        <v>28</v>
      </c>
      <c r="I8" s="8" t="s">
        <v>6</v>
      </c>
      <c r="J8" s="8" t="s">
        <v>29</v>
      </c>
      <c r="K8" s="8" t="s">
        <v>6</v>
      </c>
    </row>
    <row r="9" spans="1:11">
      <c r="A9" s="7" t="s">
        <v>30</v>
      </c>
      <c r="B9" s="1" t="s">
        <v>31</v>
      </c>
      <c r="C9" s="8" t="s">
        <v>21</v>
      </c>
      <c r="D9" s="8">
        <v>200</v>
      </c>
      <c r="E9" s="8" t="s">
        <v>6</v>
      </c>
      <c r="F9" s="8" t="s">
        <v>22</v>
      </c>
      <c r="G9" s="8" t="s">
        <v>23</v>
      </c>
      <c r="H9" s="8" t="s">
        <v>32</v>
      </c>
      <c r="I9" s="11" t="s">
        <v>33</v>
      </c>
      <c r="J9" s="12" t="s">
        <v>34</v>
      </c>
      <c r="K9" s="8" t="s">
        <v>6</v>
      </c>
    </row>
    <row r="10" spans="1:11">
      <c r="A10" s="7" t="s">
        <v>35</v>
      </c>
      <c r="B10" s="1" t="s">
        <v>36</v>
      </c>
      <c r="C10" s="8" t="s">
        <v>37</v>
      </c>
      <c r="D10" s="8">
        <v>8</v>
      </c>
      <c r="E10" s="8" t="s">
        <v>6</v>
      </c>
      <c r="F10" s="8" t="s">
        <v>22</v>
      </c>
      <c r="G10" s="8" t="s">
        <v>23</v>
      </c>
      <c r="H10" s="8" t="s">
        <v>32</v>
      </c>
      <c r="I10" s="8" t="s">
        <v>6</v>
      </c>
      <c r="J10" s="8" t="s">
        <v>38</v>
      </c>
      <c r="K10" s="8" t="s">
        <v>6</v>
      </c>
    </row>
    <row r="11" spans="1:11">
      <c r="A11" s="7" t="s">
        <v>39</v>
      </c>
      <c r="B11" s="1" t="s">
        <v>40</v>
      </c>
      <c r="C11" s="8" t="s">
        <v>21</v>
      </c>
      <c r="D11" s="8">
        <v>8</v>
      </c>
      <c r="E11" s="8" t="s">
        <v>41</v>
      </c>
      <c r="F11" s="8" t="s">
        <v>42</v>
      </c>
      <c r="G11" s="8" t="s">
        <v>23</v>
      </c>
      <c r="H11" s="8" t="s">
        <v>24</v>
      </c>
      <c r="I11" s="8" t="s">
        <v>6</v>
      </c>
      <c r="J11" s="8"/>
      <c r="K11" s="8" t="s">
        <v>6</v>
      </c>
    </row>
    <row r="12" spans="1:11">
      <c r="A12" s="7" t="s">
        <v>43</v>
      </c>
      <c r="B12" s="1" t="s">
        <v>44</v>
      </c>
      <c r="C12" s="8" t="s">
        <v>21</v>
      </c>
      <c r="D12" s="8">
        <v>40</v>
      </c>
      <c r="E12" s="8" t="s">
        <v>45</v>
      </c>
      <c r="F12" s="8" t="s">
        <v>46</v>
      </c>
      <c r="G12" s="8" t="s">
        <v>23</v>
      </c>
      <c r="H12" s="8" t="s">
        <v>24</v>
      </c>
      <c r="I12" s="8" t="s">
        <v>6</v>
      </c>
      <c r="J12" s="8"/>
      <c r="K12" s="8" t="s">
        <v>6</v>
      </c>
    </row>
    <row r="13" spans="1:11">
      <c r="A13" s="1" t="s">
        <v>47</v>
      </c>
      <c r="B13" s="8" t="s">
        <v>48</v>
      </c>
      <c r="C13" s="8" t="s">
        <v>21</v>
      </c>
      <c r="D13" s="8">
        <v>200</v>
      </c>
      <c r="E13" s="8" t="s">
        <v>6</v>
      </c>
      <c r="F13" s="8" t="s">
        <v>49</v>
      </c>
      <c r="G13" s="8" t="s">
        <v>50</v>
      </c>
      <c r="H13" s="8" t="s">
        <v>24</v>
      </c>
      <c r="I13" s="8" t="s">
        <v>6</v>
      </c>
      <c r="J13" s="8"/>
      <c r="K13" s="8" t="s">
        <v>6</v>
      </c>
    </row>
    <row r="14" spans="1:11">
      <c r="A14" s="23" t="s">
        <v>51</v>
      </c>
      <c r="B14" s="8" t="s">
        <v>52</v>
      </c>
      <c r="C14" s="8" t="s">
        <v>21</v>
      </c>
      <c r="D14" s="8">
        <v>200</v>
      </c>
      <c r="E14" s="8" t="s">
        <v>6</v>
      </c>
      <c r="F14" s="8" t="s">
        <v>53</v>
      </c>
      <c r="G14" s="8" t="s">
        <v>50</v>
      </c>
      <c r="H14" s="8" t="s">
        <v>24</v>
      </c>
      <c r="I14" s="8" t="s">
        <v>6</v>
      </c>
      <c r="J14" s="8"/>
      <c r="K14" s="8" t="s">
        <v>6</v>
      </c>
    </row>
    <row r="15" spans="1:11" ht="25.5">
      <c r="A15" s="1" t="s">
        <v>54</v>
      </c>
      <c r="B15" s="8" t="s">
        <v>55</v>
      </c>
      <c r="C15" s="8" t="s">
        <v>21</v>
      </c>
      <c r="D15" s="8">
        <v>200</v>
      </c>
      <c r="E15" s="8" t="s">
        <v>6</v>
      </c>
      <c r="F15" s="8" t="s">
        <v>49</v>
      </c>
      <c r="G15" s="8" t="s">
        <v>50</v>
      </c>
      <c r="H15" s="8" t="s">
        <v>32</v>
      </c>
      <c r="I15" s="13" t="s">
        <v>56</v>
      </c>
      <c r="J15" s="13" t="s">
        <v>57</v>
      </c>
      <c r="K15" s="8" t="s">
        <v>6</v>
      </c>
    </row>
    <row r="16" spans="1:11" ht="114.75">
      <c r="A16" s="1" t="s">
        <v>58</v>
      </c>
      <c r="B16" s="8" t="s">
        <v>59</v>
      </c>
      <c r="C16" s="8" t="s">
        <v>37</v>
      </c>
      <c r="D16" s="8">
        <v>8</v>
      </c>
      <c r="E16" s="8" t="s">
        <v>6</v>
      </c>
      <c r="F16" s="8" t="s">
        <v>49</v>
      </c>
      <c r="G16" s="8" t="s">
        <v>50</v>
      </c>
      <c r="H16" s="8" t="s">
        <v>32</v>
      </c>
      <c r="I16" s="13" t="s">
        <v>60</v>
      </c>
      <c r="J16" s="13" t="s">
        <v>61</v>
      </c>
      <c r="K16" s="22" t="s">
        <v>62</v>
      </c>
    </row>
    <row r="17" spans="1:11">
      <c r="A17" s="1" t="s">
        <v>63</v>
      </c>
      <c r="B17" s="8" t="s">
        <v>64</v>
      </c>
      <c r="C17" s="8" t="s">
        <v>21</v>
      </c>
      <c r="D17" s="8">
        <v>200</v>
      </c>
      <c r="E17" s="8" t="s">
        <v>65</v>
      </c>
      <c r="F17" s="8" t="s">
        <v>53</v>
      </c>
      <c r="G17" s="8" t="s">
        <v>50</v>
      </c>
      <c r="H17" s="8" t="s">
        <v>32</v>
      </c>
      <c r="I17" s="8" t="s">
        <v>6</v>
      </c>
      <c r="J17" s="8"/>
      <c r="K17" s="8" t="s">
        <v>6</v>
      </c>
    </row>
    <row r="18" spans="1:11">
      <c r="A18" s="1" t="s">
        <v>66</v>
      </c>
      <c r="B18" s="8" t="s">
        <v>67</v>
      </c>
      <c r="C18" s="8" t="s">
        <v>21</v>
      </c>
      <c r="D18" s="8">
        <v>200</v>
      </c>
      <c r="E18" s="8" t="s">
        <v>68</v>
      </c>
      <c r="F18" s="8" t="s">
        <v>69</v>
      </c>
      <c r="G18" s="8" t="s">
        <v>70</v>
      </c>
      <c r="H18" s="8" t="s">
        <v>24</v>
      </c>
      <c r="I18" s="8" t="s">
        <v>6</v>
      </c>
      <c r="J18" s="8"/>
      <c r="K18" s="8" t="s">
        <v>6</v>
      </c>
    </row>
    <row r="19" spans="1:11">
      <c r="A19" s="1" t="s">
        <v>71</v>
      </c>
      <c r="B19" s="8" t="s">
        <v>72</v>
      </c>
      <c r="C19" s="8" t="s">
        <v>21</v>
      </c>
      <c r="D19" s="8">
        <v>1</v>
      </c>
      <c r="E19" s="8" t="s">
        <v>73</v>
      </c>
      <c r="F19" s="8" t="s">
        <v>69</v>
      </c>
      <c r="G19" s="8" t="s">
        <v>50</v>
      </c>
      <c r="H19" s="8" t="s">
        <v>32</v>
      </c>
      <c r="I19" s="8" t="s">
        <v>6</v>
      </c>
      <c r="J19" s="8" t="s">
        <v>74</v>
      </c>
      <c r="K19" s="8" t="s">
        <v>6</v>
      </c>
    </row>
    <row r="20" spans="1:11">
      <c r="A20" s="1" t="s">
        <v>75</v>
      </c>
      <c r="B20" s="8" t="s">
        <v>76</v>
      </c>
      <c r="C20" s="8" t="s">
        <v>21</v>
      </c>
      <c r="D20" s="8">
        <v>200</v>
      </c>
      <c r="E20" s="8" t="s">
        <v>6</v>
      </c>
      <c r="F20" s="8" t="s">
        <v>69</v>
      </c>
      <c r="G20" s="8" t="s">
        <v>70</v>
      </c>
      <c r="H20" s="8" t="s">
        <v>24</v>
      </c>
      <c r="I20" s="8" t="s">
        <v>6</v>
      </c>
      <c r="J20" s="8"/>
      <c r="K20" s="8" t="s">
        <v>6</v>
      </c>
    </row>
    <row r="21" spans="1:11">
      <c r="A21" s="1" t="s">
        <v>77</v>
      </c>
      <c r="B21" s="8" t="s">
        <v>78</v>
      </c>
      <c r="C21" s="8" t="s">
        <v>21</v>
      </c>
      <c r="D21" s="8">
        <v>1</v>
      </c>
      <c r="E21" s="8" t="s">
        <v>73</v>
      </c>
      <c r="F21" s="8" t="s">
        <v>69</v>
      </c>
      <c r="G21" s="8" t="s">
        <v>50</v>
      </c>
      <c r="H21" s="8" t="s">
        <v>32</v>
      </c>
      <c r="I21" s="8" t="s">
        <v>6</v>
      </c>
      <c r="J21" s="8" t="s">
        <v>79</v>
      </c>
      <c r="K21" s="8" t="s">
        <v>6</v>
      </c>
    </row>
    <row r="22" spans="1:11" ht="25.5">
      <c r="A22" s="1" t="s">
        <v>80</v>
      </c>
      <c r="B22" s="8" t="s">
        <v>81</v>
      </c>
      <c r="C22" s="8" t="s">
        <v>37</v>
      </c>
      <c r="D22" s="8">
        <v>8</v>
      </c>
      <c r="E22" s="8" t="s">
        <v>6</v>
      </c>
      <c r="F22" s="8" t="s">
        <v>82</v>
      </c>
      <c r="G22" s="8" t="s">
        <v>50</v>
      </c>
      <c r="H22" s="8" t="s">
        <v>28</v>
      </c>
      <c r="I22" s="13"/>
      <c r="J22" s="13" t="s">
        <v>83</v>
      </c>
      <c r="K22" s="8" t="s">
        <v>6</v>
      </c>
    </row>
    <row r="23" spans="1:11">
      <c r="A23" s="1" t="s">
        <v>84</v>
      </c>
      <c r="B23" s="8" t="s">
        <v>85</v>
      </c>
      <c r="C23" s="8" t="s">
        <v>21</v>
      </c>
      <c r="D23" s="8">
        <v>200</v>
      </c>
      <c r="E23" s="8" t="s">
        <v>6</v>
      </c>
      <c r="F23" s="8" t="s">
        <v>82</v>
      </c>
      <c r="G23" s="8" t="s">
        <v>70</v>
      </c>
      <c r="H23" s="8" t="s">
        <v>24</v>
      </c>
      <c r="I23" s="13"/>
      <c r="J23" s="8" t="s">
        <v>86</v>
      </c>
      <c r="K23" s="8" t="s">
        <v>6</v>
      </c>
    </row>
    <row r="24" spans="1:11" ht="38.25">
      <c r="A24" s="9" t="s">
        <v>87</v>
      </c>
      <c r="B24" s="10" t="s">
        <v>88</v>
      </c>
      <c r="C24" s="9" t="s">
        <v>21</v>
      </c>
      <c r="D24" s="9">
        <v>200</v>
      </c>
      <c r="E24" s="9" t="s">
        <v>87</v>
      </c>
      <c r="F24" s="9" t="s">
        <v>82</v>
      </c>
      <c r="G24" s="9" t="s">
        <v>89</v>
      </c>
      <c r="H24" s="9" t="s">
        <v>28</v>
      </c>
      <c r="I24" s="9" t="s">
        <v>90</v>
      </c>
      <c r="J24" s="14" t="s">
        <v>91</v>
      </c>
      <c r="K24" s="15"/>
    </row>
    <row r="25" spans="1:11" ht="25.5">
      <c r="A25" s="9" t="s">
        <v>92</v>
      </c>
      <c r="B25" s="10" t="s">
        <v>93</v>
      </c>
      <c r="C25" s="9" t="s">
        <v>21</v>
      </c>
      <c r="D25" s="9">
        <v>19</v>
      </c>
      <c r="E25" s="9" t="s">
        <v>94</v>
      </c>
      <c r="F25" s="9" t="s">
        <v>82</v>
      </c>
      <c r="G25" s="9" t="s">
        <v>50</v>
      </c>
      <c r="H25" s="9" t="s">
        <v>28</v>
      </c>
      <c r="I25" s="9" t="s">
        <v>95</v>
      </c>
      <c r="J25" s="16" t="s">
        <v>96</v>
      </c>
      <c r="K25" s="15"/>
    </row>
    <row r="26" spans="1:11" ht="25.5">
      <c r="A26" s="9" t="s">
        <v>97</v>
      </c>
      <c r="B26" s="10" t="s">
        <v>98</v>
      </c>
      <c r="C26" s="9" t="s">
        <v>37</v>
      </c>
      <c r="D26" s="9">
        <v>8</v>
      </c>
      <c r="E26" s="9" t="s">
        <v>99</v>
      </c>
      <c r="F26" s="9" t="s">
        <v>82</v>
      </c>
      <c r="G26" s="9" t="s">
        <v>70</v>
      </c>
      <c r="H26" s="9" t="s">
        <v>32</v>
      </c>
      <c r="I26" s="9" t="s">
        <v>100</v>
      </c>
      <c r="J26" s="16" t="s">
        <v>101</v>
      </c>
      <c r="K26" s="15"/>
    </row>
  </sheetData>
  <mergeCells count="5">
    <mergeCell ref="A1:E1"/>
    <mergeCell ref="B2:E2"/>
    <mergeCell ref="B3:E3"/>
    <mergeCell ref="B4:E4"/>
    <mergeCell ref="B5:E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09B7-4D8A-43E2-8FC7-64D95B69B7FD}">
  <dimension ref="A1:B9"/>
  <sheetViews>
    <sheetView workbookViewId="0">
      <selection sqref="A1:A9"/>
    </sheetView>
  </sheetViews>
  <sheetFormatPr defaultRowHeight="15"/>
  <sheetData>
    <row r="1" spans="1:2">
      <c r="A1" t="s">
        <v>124</v>
      </c>
      <c r="B1" t="s">
        <v>125</v>
      </c>
    </row>
    <row r="2" spans="1:2">
      <c r="A2" t="s">
        <v>126</v>
      </c>
      <c r="B2" t="s">
        <v>127</v>
      </c>
    </row>
    <row r="3" spans="1:2">
      <c r="A3" t="s">
        <v>128</v>
      </c>
      <c r="B3" t="s">
        <v>129</v>
      </c>
    </row>
    <row r="4" spans="1:2">
      <c r="A4" t="s">
        <v>130</v>
      </c>
      <c r="B4" t="s">
        <v>131</v>
      </c>
    </row>
    <row r="5" spans="1:2">
      <c r="A5" t="s">
        <v>132</v>
      </c>
      <c r="B5" t="s">
        <v>133</v>
      </c>
    </row>
    <row r="6" spans="1:2">
      <c r="A6" t="s">
        <v>134</v>
      </c>
      <c r="B6" t="s">
        <v>135</v>
      </c>
    </row>
    <row r="7" spans="1:2">
      <c r="A7" t="s">
        <v>136</v>
      </c>
      <c r="B7" t="s">
        <v>131</v>
      </c>
    </row>
    <row r="8" spans="1:2">
      <c r="A8" t="s">
        <v>137</v>
      </c>
      <c r="B8" t="s">
        <v>138</v>
      </c>
    </row>
    <row r="9" spans="1:2">
      <c r="A9" t="s">
        <v>139</v>
      </c>
      <c r="B9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3"/>
  <sheetViews>
    <sheetView workbookViewId="0">
      <selection activeCell="B3" sqref="B3"/>
    </sheetView>
  </sheetViews>
  <sheetFormatPr defaultColWidth="9" defaultRowHeight="15"/>
  <sheetData>
    <row r="1" spans="2:2">
      <c r="B1" s="1" t="s">
        <v>58</v>
      </c>
    </row>
    <row r="2" spans="2:2">
      <c r="B2" t="s">
        <v>102</v>
      </c>
    </row>
    <row r="3" spans="2:2">
      <c r="B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selection activeCell="G15" sqref="G15"/>
    </sheetView>
  </sheetViews>
  <sheetFormatPr defaultColWidth="9" defaultRowHeight="15"/>
  <cols>
    <col min="1" max="1" width="16.42578125" customWidth="1"/>
  </cols>
  <sheetData>
    <row r="1" spans="1:4">
      <c r="A1" t="s">
        <v>39</v>
      </c>
    </row>
    <row r="2" spans="1:4">
      <c r="A2" t="s">
        <v>104</v>
      </c>
      <c r="B2" t="s">
        <v>119</v>
      </c>
      <c r="C2" t="s">
        <v>118</v>
      </c>
      <c r="D2" t="s">
        <v>120</v>
      </c>
    </row>
    <row r="3" spans="1:4">
      <c r="A3" t="s">
        <v>105</v>
      </c>
      <c r="B3" t="s">
        <v>119</v>
      </c>
      <c r="C3" t="s">
        <v>118</v>
      </c>
      <c r="D3" t="s">
        <v>120</v>
      </c>
    </row>
    <row r="4" spans="1:4">
      <c r="A4" t="s">
        <v>106</v>
      </c>
      <c r="B4" t="s">
        <v>119</v>
      </c>
      <c r="C4" t="s">
        <v>118</v>
      </c>
      <c r="D4" t="s">
        <v>120</v>
      </c>
    </row>
    <row r="5" spans="1:4">
      <c r="A5" t="s">
        <v>107</v>
      </c>
      <c r="B5" t="s">
        <v>119</v>
      </c>
      <c r="C5" t="s">
        <v>118</v>
      </c>
      <c r="D5" t="s">
        <v>120</v>
      </c>
    </row>
    <row r="6" spans="1:4">
      <c r="A6" t="s">
        <v>108</v>
      </c>
      <c r="B6" t="s">
        <v>119</v>
      </c>
      <c r="C6" t="s">
        <v>118</v>
      </c>
      <c r="D6" t="s">
        <v>120</v>
      </c>
    </row>
    <row r="7" spans="1:4">
      <c r="A7" t="s">
        <v>103</v>
      </c>
      <c r="B7" t="s">
        <v>119</v>
      </c>
      <c r="C7" t="s">
        <v>118</v>
      </c>
      <c r="D7" t="s">
        <v>120</v>
      </c>
    </row>
    <row r="8" spans="1:4">
      <c r="A8" t="s">
        <v>109</v>
      </c>
      <c r="B8" t="s">
        <v>119</v>
      </c>
      <c r="C8" t="s">
        <v>118</v>
      </c>
      <c r="D8" t="s">
        <v>120</v>
      </c>
    </row>
    <row r="9" spans="1:4">
      <c r="A9" t="s">
        <v>110</v>
      </c>
      <c r="B9" t="s">
        <v>119</v>
      </c>
      <c r="C9" t="s">
        <v>118</v>
      </c>
      <c r="D9" t="s">
        <v>120</v>
      </c>
    </row>
    <row r="10" spans="1:4">
      <c r="A10" t="s">
        <v>111</v>
      </c>
      <c r="B10" t="s">
        <v>119</v>
      </c>
      <c r="C10" t="s">
        <v>118</v>
      </c>
      <c r="D10" t="s">
        <v>120</v>
      </c>
    </row>
    <row r="11" spans="1:4">
      <c r="A11" t="s">
        <v>112</v>
      </c>
      <c r="B11" t="s">
        <v>119</v>
      </c>
      <c r="C11" t="s">
        <v>118</v>
      </c>
      <c r="D11" t="s">
        <v>120</v>
      </c>
    </row>
    <row r="12" spans="1:4">
      <c r="A12" t="s">
        <v>113</v>
      </c>
      <c r="B12" t="s">
        <v>119</v>
      </c>
      <c r="C12" t="s">
        <v>118</v>
      </c>
      <c r="D12" t="s">
        <v>120</v>
      </c>
    </row>
    <row r="13" spans="1:4">
      <c r="A13" t="s">
        <v>114</v>
      </c>
      <c r="B13" t="s">
        <v>119</v>
      </c>
      <c r="C13" t="s">
        <v>118</v>
      </c>
      <c r="D13" t="s">
        <v>120</v>
      </c>
    </row>
    <row r="14" spans="1:4">
      <c r="A14" t="s">
        <v>115</v>
      </c>
      <c r="B14" t="s">
        <v>119</v>
      </c>
      <c r="C14" t="s">
        <v>118</v>
      </c>
      <c r="D14" t="s">
        <v>120</v>
      </c>
    </row>
    <row r="15" spans="1:4">
      <c r="A15" t="s">
        <v>116</v>
      </c>
      <c r="B15" t="s">
        <v>119</v>
      </c>
      <c r="C15" t="s">
        <v>118</v>
      </c>
      <c r="D15" t="s">
        <v>120</v>
      </c>
    </row>
    <row r="16" spans="1:4">
      <c r="A16" t="s">
        <v>117</v>
      </c>
      <c r="B16" t="s">
        <v>119</v>
      </c>
      <c r="C16" t="s">
        <v>118</v>
      </c>
      <c r="D16" t="s">
        <v>120</v>
      </c>
    </row>
    <row r="17" spans="1:4">
      <c r="A17" t="s">
        <v>104</v>
      </c>
      <c r="B17" t="s">
        <v>119</v>
      </c>
      <c r="C17" t="s">
        <v>118</v>
      </c>
      <c r="D17" t="s">
        <v>121</v>
      </c>
    </row>
    <row r="18" spans="1:4">
      <c r="A18" t="s">
        <v>105</v>
      </c>
      <c r="B18" t="s">
        <v>119</v>
      </c>
      <c r="C18" t="s">
        <v>118</v>
      </c>
      <c r="D18" t="s">
        <v>121</v>
      </c>
    </row>
    <row r="19" spans="1:4">
      <c r="A19" t="s">
        <v>106</v>
      </c>
      <c r="B19" t="s">
        <v>119</v>
      </c>
      <c r="C19" t="s">
        <v>118</v>
      </c>
      <c r="D19" t="s">
        <v>121</v>
      </c>
    </row>
    <row r="20" spans="1:4">
      <c r="A20" t="s">
        <v>107</v>
      </c>
      <c r="B20" t="s">
        <v>119</v>
      </c>
      <c r="C20" t="s">
        <v>118</v>
      </c>
      <c r="D20" t="s">
        <v>121</v>
      </c>
    </row>
    <row r="21" spans="1:4">
      <c r="A21" t="s">
        <v>108</v>
      </c>
      <c r="B21" t="s">
        <v>119</v>
      </c>
      <c r="C21" t="s">
        <v>118</v>
      </c>
      <c r="D21" t="s">
        <v>121</v>
      </c>
    </row>
    <row r="22" spans="1:4">
      <c r="A22" t="s">
        <v>103</v>
      </c>
      <c r="B22" t="s">
        <v>119</v>
      </c>
      <c r="C22" t="s">
        <v>118</v>
      </c>
      <c r="D22" t="s">
        <v>121</v>
      </c>
    </row>
    <row r="23" spans="1:4">
      <c r="A23" t="s">
        <v>109</v>
      </c>
      <c r="B23" t="s">
        <v>119</v>
      </c>
      <c r="C23" t="s">
        <v>118</v>
      </c>
      <c r="D23" t="s">
        <v>121</v>
      </c>
    </row>
    <row r="24" spans="1:4">
      <c r="A24" t="s">
        <v>110</v>
      </c>
      <c r="B24" t="s">
        <v>119</v>
      </c>
      <c r="C24" t="s">
        <v>118</v>
      </c>
      <c r="D24" t="s">
        <v>121</v>
      </c>
    </row>
    <row r="25" spans="1:4">
      <c r="A25" t="s">
        <v>111</v>
      </c>
      <c r="B25" t="s">
        <v>119</v>
      </c>
      <c r="C25" t="s">
        <v>118</v>
      </c>
      <c r="D25" t="s">
        <v>121</v>
      </c>
    </row>
    <row r="26" spans="1:4">
      <c r="A26" t="s">
        <v>112</v>
      </c>
      <c r="B26" t="s">
        <v>119</v>
      </c>
      <c r="C26" t="s">
        <v>118</v>
      </c>
      <c r="D26" t="s">
        <v>121</v>
      </c>
    </row>
    <row r="27" spans="1:4">
      <c r="A27" t="s">
        <v>113</v>
      </c>
      <c r="B27" t="s">
        <v>119</v>
      </c>
      <c r="C27" t="s">
        <v>118</v>
      </c>
      <c r="D27" t="s">
        <v>121</v>
      </c>
    </row>
    <row r="28" spans="1:4">
      <c r="A28" t="s">
        <v>114</v>
      </c>
      <c r="B28" t="s">
        <v>119</v>
      </c>
      <c r="C28" t="s">
        <v>118</v>
      </c>
      <c r="D28" t="s">
        <v>121</v>
      </c>
    </row>
    <row r="29" spans="1:4">
      <c r="A29" t="s">
        <v>115</v>
      </c>
      <c r="B29" t="s">
        <v>119</v>
      </c>
      <c r="C29" t="s">
        <v>118</v>
      </c>
      <c r="D29" t="s">
        <v>121</v>
      </c>
    </row>
    <row r="30" spans="1:4">
      <c r="A30" t="s">
        <v>116</v>
      </c>
      <c r="B30" t="s">
        <v>119</v>
      </c>
      <c r="C30" t="s">
        <v>118</v>
      </c>
      <c r="D30" t="s">
        <v>121</v>
      </c>
    </row>
    <row r="31" spans="1:4">
      <c r="A31" t="s">
        <v>117</v>
      </c>
      <c r="B31" t="s">
        <v>119</v>
      </c>
      <c r="C31" t="s">
        <v>118</v>
      </c>
      <c r="D31" t="s">
        <v>121</v>
      </c>
    </row>
    <row r="32" spans="1:4">
      <c r="A32" t="s">
        <v>104</v>
      </c>
      <c r="B32" t="s">
        <v>122</v>
      </c>
      <c r="C32" t="s">
        <v>118</v>
      </c>
      <c r="D32" t="s">
        <v>120</v>
      </c>
    </row>
    <row r="33" spans="1:4">
      <c r="A33" t="s">
        <v>105</v>
      </c>
      <c r="B33" t="s">
        <v>122</v>
      </c>
      <c r="C33" t="s">
        <v>118</v>
      </c>
      <c r="D33" t="s">
        <v>120</v>
      </c>
    </row>
    <row r="34" spans="1:4">
      <c r="A34" t="s">
        <v>106</v>
      </c>
      <c r="B34" t="s">
        <v>122</v>
      </c>
      <c r="C34" t="s">
        <v>118</v>
      </c>
      <c r="D34" t="s">
        <v>120</v>
      </c>
    </row>
    <row r="35" spans="1:4">
      <c r="A35" t="s">
        <v>107</v>
      </c>
      <c r="B35" t="s">
        <v>122</v>
      </c>
      <c r="C35" t="s">
        <v>118</v>
      </c>
      <c r="D35" t="s">
        <v>120</v>
      </c>
    </row>
    <row r="36" spans="1:4">
      <c r="A36" t="s">
        <v>108</v>
      </c>
      <c r="B36" t="s">
        <v>122</v>
      </c>
      <c r="C36" t="s">
        <v>118</v>
      </c>
      <c r="D36" t="s">
        <v>120</v>
      </c>
    </row>
    <row r="37" spans="1:4">
      <c r="A37" t="s">
        <v>103</v>
      </c>
      <c r="B37" t="s">
        <v>122</v>
      </c>
      <c r="C37" t="s">
        <v>118</v>
      </c>
      <c r="D37" t="s">
        <v>120</v>
      </c>
    </row>
    <row r="38" spans="1:4">
      <c r="A38" t="s">
        <v>109</v>
      </c>
      <c r="B38" t="s">
        <v>122</v>
      </c>
      <c r="C38" t="s">
        <v>118</v>
      </c>
      <c r="D38" t="s">
        <v>120</v>
      </c>
    </row>
    <row r="39" spans="1:4">
      <c r="A39" t="s">
        <v>110</v>
      </c>
      <c r="B39" t="s">
        <v>122</v>
      </c>
      <c r="C39" t="s">
        <v>118</v>
      </c>
      <c r="D39" t="s">
        <v>120</v>
      </c>
    </row>
    <row r="40" spans="1:4">
      <c r="A40" t="s">
        <v>111</v>
      </c>
      <c r="B40" t="s">
        <v>122</v>
      </c>
      <c r="C40" t="s">
        <v>118</v>
      </c>
      <c r="D40" t="s">
        <v>120</v>
      </c>
    </row>
    <row r="41" spans="1:4">
      <c r="A41" t="s">
        <v>112</v>
      </c>
      <c r="B41" t="s">
        <v>122</v>
      </c>
      <c r="C41" t="s">
        <v>118</v>
      </c>
      <c r="D41" t="s">
        <v>120</v>
      </c>
    </row>
    <row r="42" spans="1:4">
      <c r="A42" t="s">
        <v>113</v>
      </c>
      <c r="B42" t="s">
        <v>122</v>
      </c>
      <c r="C42" t="s">
        <v>118</v>
      </c>
      <c r="D42" t="s">
        <v>120</v>
      </c>
    </row>
    <row r="43" spans="1:4">
      <c r="A43" t="s">
        <v>114</v>
      </c>
      <c r="B43" t="s">
        <v>122</v>
      </c>
      <c r="C43" t="s">
        <v>118</v>
      </c>
      <c r="D43" t="s">
        <v>120</v>
      </c>
    </row>
    <row r="44" spans="1:4">
      <c r="A44" t="s">
        <v>115</v>
      </c>
      <c r="B44" t="s">
        <v>122</v>
      </c>
      <c r="C44" t="s">
        <v>118</v>
      </c>
      <c r="D44" t="s">
        <v>120</v>
      </c>
    </row>
    <row r="45" spans="1:4">
      <c r="A45" t="s">
        <v>116</v>
      </c>
      <c r="B45" t="s">
        <v>122</v>
      </c>
      <c r="C45" t="s">
        <v>118</v>
      </c>
      <c r="D45" t="s">
        <v>120</v>
      </c>
    </row>
    <row r="46" spans="1:4">
      <c r="A46" t="s">
        <v>117</v>
      </c>
      <c r="B46" t="s">
        <v>122</v>
      </c>
      <c r="C46" t="s">
        <v>118</v>
      </c>
      <c r="D46" t="s">
        <v>120</v>
      </c>
    </row>
    <row r="47" spans="1:4">
      <c r="A47" t="s">
        <v>104</v>
      </c>
      <c r="B47" t="s">
        <v>122</v>
      </c>
      <c r="C47" t="s">
        <v>118</v>
      </c>
      <c r="D47" t="s">
        <v>121</v>
      </c>
    </row>
    <row r="48" spans="1:4">
      <c r="A48" t="s">
        <v>105</v>
      </c>
      <c r="B48" t="s">
        <v>122</v>
      </c>
      <c r="C48" t="s">
        <v>118</v>
      </c>
      <c r="D48" t="s">
        <v>121</v>
      </c>
    </row>
    <row r="49" spans="1:4">
      <c r="A49" t="s">
        <v>106</v>
      </c>
      <c r="B49" t="s">
        <v>122</v>
      </c>
      <c r="C49" t="s">
        <v>118</v>
      </c>
      <c r="D49" t="s">
        <v>121</v>
      </c>
    </row>
    <row r="50" spans="1:4">
      <c r="A50" t="s">
        <v>107</v>
      </c>
      <c r="B50" t="s">
        <v>122</v>
      </c>
      <c r="C50" t="s">
        <v>118</v>
      </c>
      <c r="D50" t="s">
        <v>121</v>
      </c>
    </row>
    <row r="51" spans="1:4">
      <c r="A51" t="s">
        <v>108</v>
      </c>
      <c r="B51" t="s">
        <v>122</v>
      </c>
      <c r="C51" t="s">
        <v>118</v>
      </c>
      <c r="D51" t="s">
        <v>121</v>
      </c>
    </row>
    <row r="52" spans="1:4">
      <c r="A52" t="s">
        <v>103</v>
      </c>
      <c r="B52" t="s">
        <v>122</v>
      </c>
      <c r="C52" t="s">
        <v>118</v>
      </c>
      <c r="D52" t="s">
        <v>121</v>
      </c>
    </row>
    <row r="53" spans="1:4">
      <c r="A53" t="s">
        <v>109</v>
      </c>
      <c r="B53" t="s">
        <v>122</v>
      </c>
      <c r="C53" t="s">
        <v>118</v>
      </c>
      <c r="D53" t="s">
        <v>121</v>
      </c>
    </row>
    <row r="54" spans="1:4">
      <c r="A54" t="s">
        <v>110</v>
      </c>
      <c r="B54" t="s">
        <v>122</v>
      </c>
      <c r="C54" t="s">
        <v>118</v>
      </c>
      <c r="D54" t="s">
        <v>121</v>
      </c>
    </row>
    <row r="55" spans="1:4">
      <c r="A55" t="s">
        <v>111</v>
      </c>
      <c r="B55" t="s">
        <v>122</v>
      </c>
      <c r="C55" t="s">
        <v>118</v>
      </c>
      <c r="D55" t="s">
        <v>121</v>
      </c>
    </row>
    <row r="56" spans="1:4">
      <c r="A56" t="s">
        <v>112</v>
      </c>
      <c r="B56" t="s">
        <v>122</v>
      </c>
      <c r="C56" t="s">
        <v>118</v>
      </c>
      <c r="D56" t="s">
        <v>121</v>
      </c>
    </row>
    <row r="57" spans="1:4">
      <c r="A57" t="s">
        <v>113</v>
      </c>
      <c r="B57" t="s">
        <v>122</v>
      </c>
      <c r="C57" t="s">
        <v>118</v>
      </c>
      <c r="D57" t="s">
        <v>121</v>
      </c>
    </row>
    <row r="58" spans="1:4">
      <c r="A58" t="s">
        <v>114</v>
      </c>
      <c r="B58" t="s">
        <v>122</v>
      </c>
      <c r="C58" t="s">
        <v>118</v>
      </c>
      <c r="D58" t="s">
        <v>121</v>
      </c>
    </row>
    <row r="59" spans="1:4">
      <c r="A59" t="s">
        <v>115</v>
      </c>
      <c r="B59" t="s">
        <v>122</v>
      </c>
      <c r="C59" t="s">
        <v>118</v>
      </c>
      <c r="D59" t="s">
        <v>121</v>
      </c>
    </row>
    <row r="60" spans="1:4">
      <c r="A60" t="s">
        <v>116</v>
      </c>
      <c r="B60" t="s">
        <v>122</v>
      </c>
      <c r="C60" t="s">
        <v>118</v>
      </c>
      <c r="D60" t="s">
        <v>121</v>
      </c>
    </row>
    <row r="61" spans="1:4">
      <c r="A61" t="s">
        <v>117</v>
      </c>
      <c r="B61" t="s">
        <v>122</v>
      </c>
      <c r="C61" t="s">
        <v>118</v>
      </c>
      <c r="D61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5B37-7AF5-4750-B03D-C2ABC46F4605}">
  <dimension ref="A1:Q25"/>
  <sheetViews>
    <sheetView workbookViewId="0">
      <selection activeCell="L3" sqref="L3"/>
    </sheetView>
  </sheetViews>
  <sheetFormatPr defaultRowHeight="15"/>
  <cols>
    <col min="1" max="1" width="10.85546875" customWidth="1"/>
    <col min="5" max="5" width="4.140625" customWidth="1"/>
    <col min="10" max="10" width="16.85546875" customWidth="1"/>
    <col min="11" max="11" width="10.42578125" customWidth="1"/>
    <col min="12" max="12" width="20.5703125" bestFit="1" customWidth="1"/>
    <col min="13" max="13" width="11.7109375" bestFit="1" customWidth="1"/>
  </cols>
  <sheetData>
    <row r="1" spans="1:17">
      <c r="A1" s="42" t="s">
        <v>123</v>
      </c>
      <c r="B1" s="43"/>
      <c r="C1" s="43"/>
      <c r="D1" s="44"/>
      <c r="J1" s="25" t="s">
        <v>151</v>
      </c>
    </row>
    <row r="2" spans="1:17">
      <c r="A2" s="17" t="s">
        <v>39</v>
      </c>
      <c r="D2" s="18"/>
    </row>
    <row r="3" spans="1:17">
      <c r="A3" s="17" t="s">
        <v>107</v>
      </c>
      <c r="B3" t="s">
        <v>119</v>
      </c>
      <c r="C3" t="s">
        <v>118</v>
      </c>
      <c r="D3" s="18" t="s">
        <v>120</v>
      </c>
      <c r="F3" s="17" t="s">
        <v>107</v>
      </c>
      <c r="G3" t="s">
        <v>119</v>
      </c>
      <c r="H3" t="s">
        <v>118</v>
      </c>
      <c r="I3" s="18" t="s">
        <v>120</v>
      </c>
      <c r="J3">
        <v>84</v>
      </c>
    </row>
    <row r="4" spans="1:17">
      <c r="A4" s="17" t="s">
        <v>107</v>
      </c>
      <c r="B4" t="s">
        <v>119</v>
      </c>
      <c r="C4" t="s">
        <v>118</v>
      </c>
      <c r="D4" s="18" t="s">
        <v>121</v>
      </c>
      <c r="F4" s="17" t="s">
        <v>107</v>
      </c>
      <c r="G4" t="s">
        <v>119</v>
      </c>
      <c r="H4" t="s">
        <v>118</v>
      </c>
      <c r="I4" s="18" t="s">
        <v>121</v>
      </c>
      <c r="J4">
        <v>85</v>
      </c>
    </row>
    <row r="5" spans="1:17">
      <c r="A5" s="17" t="s">
        <v>107</v>
      </c>
      <c r="B5" t="s">
        <v>122</v>
      </c>
      <c r="C5" t="s">
        <v>118</v>
      </c>
      <c r="D5" s="18" t="s">
        <v>120</v>
      </c>
      <c r="F5" s="17" t="s">
        <v>107</v>
      </c>
      <c r="G5" t="s">
        <v>122</v>
      </c>
      <c r="H5" t="s">
        <v>118</v>
      </c>
      <c r="I5" s="18" t="s">
        <v>120</v>
      </c>
      <c r="J5">
        <v>90</v>
      </c>
      <c r="M5" s="25" t="s">
        <v>150</v>
      </c>
      <c r="N5" s="25" t="s">
        <v>153</v>
      </c>
      <c r="O5" s="25" t="s">
        <v>152</v>
      </c>
      <c r="Q5" s="28" t="s">
        <v>154</v>
      </c>
    </row>
    <row r="6" spans="1:17">
      <c r="A6" s="17" t="s">
        <v>107</v>
      </c>
      <c r="B6" t="s">
        <v>122</v>
      </c>
      <c r="C6" t="s">
        <v>118</v>
      </c>
      <c r="D6" s="18" t="s">
        <v>121</v>
      </c>
      <c r="F6" s="26" t="s">
        <v>107</v>
      </c>
      <c r="G6" s="25" t="s">
        <v>122</v>
      </c>
      <c r="H6" s="25" t="s">
        <v>118</v>
      </c>
      <c r="I6" s="27" t="s">
        <v>121</v>
      </c>
      <c r="J6" s="25">
        <v>92</v>
      </c>
      <c r="K6" s="25" t="s">
        <v>144</v>
      </c>
      <c r="L6" s="24" t="s">
        <v>143</v>
      </c>
      <c r="M6" s="24" t="s">
        <v>146</v>
      </c>
      <c r="N6" s="24" t="s">
        <v>147</v>
      </c>
      <c r="O6" s="24" t="s">
        <v>148</v>
      </c>
      <c r="P6" s="25" t="s">
        <v>149</v>
      </c>
      <c r="Q6" s="28" t="s">
        <v>155</v>
      </c>
    </row>
    <row r="7" spans="1:17">
      <c r="A7" s="17"/>
      <c r="D7" s="18"/>
      <c r="F7" s="17" t="s">
        <v>107</v>
      </c>
      <c r="G7" s="24" t="s">
        <v>140</v>
      </c>
      <c r="H7" t="s">
        <v>118</v>
      </c>
      <c r="I7" s="18" t="s">
        <v>120</v>
      </c>
      <c r="J7">
        <v>86</v>
      </c>
      <c r="K7" s="25" t="s">
        <v>142</v>
      </c>
      <c r="L7" s="24" t="s">
        <v>145</v>
      </c>
      <c r="M7">
        <v>92</v>
      </c>
      <c r="N7">
        <f>M7-J7</f>
        <v>6</v>
      </c>
      <c r="O7">
        <f>N7/M7*100</f>
        <v>6.5217391304347823</v>
      </c>
    </row>
    <row r="8" spans="1:17">
      <c r="A8" s="17" t="s">
        <v>39</v>
      </c>
      <c r="D8" s="18"/>
      <c r="F8" s="17" t="s">
        <v>107</v>
      </c>
      <c r="G8" s="24" t="s">
        <v>140</v>
      </c>
      <c r="H8" t="s">
        <v>118</v>
      </c>
      <c r="I8" s="18" t="s">
        <v>121</v>
      </c>
      <c r="J8">
        <v>87</v>
      </c>
      <c r="L8" s="24" t="s">
        <v>145</v>
      </c>
      <c r="M8">
        <v>92</v>
      </c>
      <c r="N8">
        <f t="shared" ref="N8:N10" si="0">M8-J8</f>
        <v>5</v>
      </c>
      <c r="O8">
        <f t="shared" ref="O8:O10" si="1">N8/M8*100</f>
        <v>5.4347826086956523</v>
      </c>
    </row>
    <row r="9" spans="1:17">
      <c r="A9" s="17" t="s">
        <v>114</v>
      </c>
      <c r="B9" t="s">
        <v>119</v>
      </c>
      <c r="C9" t="s">
        <v>118</v>
      </c>
      <c r="D9" s="18" t="s">
        <v>120</v>
      </c>
      <c r="F9" s="17" t="s">
        <v>107</v>
      </c>
      <c r="G9" s="24" t="s">
        <v>141</v>
      </c>
      <c r="H9" t="s">
        <v>118</v>
      </c>
      <c r="I9" s="18" t="s">
        <v>120</v>
      </c>
      <c r="J9">
        <v>91</v>
      </c>
      <c r="L9" s="24" t="s">
        <v>145</v>
      </c>
      <c r="M9">
        <v>92</v>
      </c>
      <c r="N9">
        <f t="shared" si="0"/>
        <v>1</v>
      </c>
      <c r="O9">
        <f t="shared" si="1"/>
        <v>1.0869565217391304</v>
      </c>
    </row>
    <row r="10" spans="1:17">
      <c r="A10" s="17" t="s">
        <v>114</v>
      </c>
      <c r="B10" t="s">
        <v>119</v>
      </c>
      <c r="C10" t="s">
        <v>118</v>
      </c>
      <c r="D10" s="18" t="s">
        <v>121</v>
      </c>
      <c r="F10" s="17" t="s">
        <v>107</v>
      </c>
      <c r="G10" s="24" t="s">
        <v>141</v>
      </c>
      <c r="H10" t="s">
        <v>118</v>
      </c>
      <c r="I10" s="18" t="s">
        <v>121</v>
      </c>
      <c r="J10">
        <v>93</v>
      </c>
      <c r="L10" s="24" t="s">
        <v>145</v>
      </c>
      <c r="M10">
        <v>92</v>
      </c>
      <c r="N10">
        <f t="shared" si="0"/>
        <v>-1</v>
      </c>
      <c r="O10">
        <f t="shared" si="1"/>
        <v>-1.0869565217391304</v>
      </c>
      <c r="Q10" s="28" t="s">
        <v>156</v>
      </c>
    </row>
    <row r="11" spans="1:17">
      <c r="A11" s="17" t="s">
        <v>114</v>
      </c>
      <c r="B11" t="s">
        <v>122</v>
      </c>
      <c r="C11" t="s">
        <v>118</v>
      </c>
      <c r="D11" s="18" t="s">
        <v>120</v>
      </c>
    </row>
    <row r="12" spans="1:17">
      <c r="A12" s="17" t="s">
        <v>114</v>
      </c>
      <c r="B12" t="s">
        <v>122</v>
      </c>
      <c r="C12" t="s">
        <v>118</v>
      </c>
      <c r="D12" s="18" t="s">
        <v>121</v>
      </c>
    </row>
    <row r="13" spans="1:17">
      <c r="A13" s="17"/>
      <c r="D13" s="18"/>
      <c r="L13" s="45" t="s">
        <v>173</v>
      </c>
      <c r="M13" s="46"/>
      <c r="N13" s="46"/>
      <c r="O13" s="47"/>
    </row>
    <row r="14" spans="1:17">
      <c r="A14" s="17" t="s">
        <v>39</v>
      </c>
      <c r="D14" s="18"/>
      <c r="H14" s="29"/>
      <c r="I14" s="30"/>
      <c r="J14" s="31" t="s">
        <v>159</v>
      </c>
      <c r="L14" s="29"/>
      <c r="M14" s="43" t="s">
        <v>172</v>
      </c>
      <c r="N14" s="43"/>
      <c r="O14" s="44"/>
    </row>
    <row r="15" spans="1:17">
      <c r="A15" s="17" t="s">
        <v>103</v>
      </c>
      <c r="B15" t="s">
        <v>119</v>
      </c>
      <c r="C15" t="s">
        <v>118</v>
      </c>
      <c r="D15" s="18" t="s">
        <v>120</v>
      </c>
      <c r="H15" s="26" t="s">
        <v>157</v>
      </c>
      <c r="I15" s="25" t="s">
        <v>158</v>
      </c>
      <c r="J15" s="27" t="s">
        <v>160</v>
      </c>
      <c r="L15" s="26" t="s">
        <v>171</v>
      </c>
      <c r="M15" s="25" t="s">
        <v>170</v>
      </c>
      <c r="N15" s="25" t="s">
        <v>155</v>
      </c>
      <c r="O15" s="27" t="s">
        <v>156</v>
      </c>
    </row>
    <row r="16" spans="1:17">
      <c r="A16" s="17" t="s">
        <v>103</v>
      </c>
      <c r="B16" t="s">
        <v>119</v>
      </c>
      <c r="C16" t="s">
        <v>118</v>
      </c>
      <c r="D16" s="18" t="s">
        <v>121</v>
      </c>
      <c r="H16" s="17" t="s">
        <v>118</v>
      </c>
      <c r="I16" t="s">
        <v>155</v>
      </c>
      <c r="J16" s="18" t="s">
        <v>156</v>
      </c>
      <c r="L16" s="26" t="s">
        <v>170</v>
      </c>
      <c r="M16">
        <v>1</v>
      </c>
      <c r="N16">
        <v>2</v>
      </c>
      <c r="O16" s="18">
        <v>0</v>
      </c>
    </row>
    <row r="17" spans="1:15">
      <c r="A17" s="17" t="s">
        <v>103</v>
      </c>
      <c r="B17" t="s">
        <v>122</v>
      </c>
      <c r="C17" t="s">
        <v>118</v>
      </c>
      <c r="D17" s="18" t="s">
        <v>120</v>
      </c>
      <c r="H17" s="17" t="s">
        <v>161</v>
      </c>
      <c r="I17" t="s">
        <v>155</v>
      </c>
      <c r="J17" s="18" t="s">
        <v>155</v>
      </c>
      <c r="L17" s="26" t="s">
        <v>155</v>
      </c>
      <c r="M17">
        <v>0</v>
      </c>
      <c r="N17">
        <v>1</v>
      </c>
      <c r="O17" s="18">
        <v>1</v>
      </c>
    </row>
    <row r="18" spans="1:15">
      <c r="A18" s="19" t="s">
        <v>103</v>
      </c>
      <c r="B18" s="20" t="s">
        <v>122</v>
      </c>
      <c r="C18" s="20" t="s">
        <v>118</v>
      </c>
      <c r="D18" s="21" t="s">
        <v>121</v>
      </c>
      <c r="H18" s="17" t="s">
        <v>162</v>
      </c>
      <c r="I18" t="s">
        <v>170</v>
      </c>
      <c r="J18" s="18" t="s">
        <v>155</v>
      </c>
      <c r="L18" s="32" t="s">
        <v>156</v>
      </c>
      <c r="M18" s="20">
        <v>1</v>
      </c>
      <c r="N18" s="20">
        <v>4</v>
      </c>
      <c r="O18" s="21">
        <v>0</v>
      </c>
    </row>
    <row r="19" spans="1:15">
      <c r="H19" s="17" t="s">
        <v>163</v>
      </c>
      <c r="I19" t="s">
        <v>170</v>
      </c>
      <c r="J19" s="18" t="s">
        <v>170</v>
      </c>
    </row>
    <row r="20" spans="1:15">
      <c r="H20" s="17" t="s">
        <v>164</v>
      </c>
      <c r="I20" t="s">
        <v>170</v>
      </c>
      <c r="J20" s="18" t="s">
        <v>155</v>
      </c>
    </row>
    <row r="21" spans="1:15">
      <c r="H21" s="17" t="s">
        <v>165</v>
      </c>
      <c r="I21" t="s">
        <v>156</v>
      </c>
      <c r="J21" s="18" t="s">
        <v>155</v>
      </c>
    </row>
    <row r="22" spans="1:15">
      <c r="H22" s="17" t="s">
        <v>166</v>
      </c>
      <c r="I22" t="s">
        <v>156</v>
      </c>
      <c r="J22" s="18" t="s">
        <v>155</v>
      </c>
    </row>
    <row r="23" spans="1:15">
      <c r="H23" s="17" t="s">
        <v>167</v>
      </c>
      <c r="I23" t="s">
        <v>156</v>
      </c>
      <c r="J23" s="18" t="s">
        <v>170</v>
      </c>
    </row>
    <row r="24" spans="1:15">
      <c r="H24" s="17" t="s">
        <v>168</v>
      </c>
      <c r="I24" t="s">
        <v>156</v>
      </c>
      <c r="J24" s="18" t="s">
        <v>155</v>
      </c>
    </row>
    <row r="25" spans="1:15">
      <c r="H25" s="19" t="s">
        <v>169</v>
      </c>
      <c r="I25" s="20" t="s">
        <v>156</v>
      </c>
      <c r="J25" s="21" t="s">
        <v>155</v>
      </c>
    </row>
  </sheetData>
  <mergeCells count="3">
    <mergeCell ref="A1:D1"/>
    <mergeCell ref="M14:O14"/>
    <mergeCell ref="L13:O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mock-data</vt:lpstr>
      <vt:lpstr>mock-one-step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Tousif Tamboli</cp:lastModifiedBy>
  <dcterms:created xsi:type="dcterms:W3CDTF">2006-09-16T00:00:00Z</dcterms:created>
  <dcterms:modified xsi:type="dcterms:W3CDTF">2025-11-16T14:41:12Z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FFC37900B6184FED987022F0E64D6D67</vt:lpwstr>
  </property>
  <property fmtid="{D5CDD505-2E9C-101B-9397-08002B2CF9AE}" pid="3" name="KSOProductBuildVer">
    <vt:lpwstr>1033-11.2.0.11486</vt:lpwstr>
  </property>
</Properties>
</file>